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" state="visible" r:id="rId4"/>
    <sheet sheetId="2" name="Manual" state="visible" r:id="rId5"/>
  </sheets>
  <calcPr calcId="171027"/>
</workbook>
</file>

<file path=xl/sharedStrings.xml><?xml version="1.0" encoding="utf-8"?>
<sst xmlns="http://schemas.openxmlformats.org/spreadsheetml/2006/main" count="164" uniqueCount="65">
  <si>
    <t>CONTACT-POINTS TESTCASE</t>
  </si>
  <si>
    <t>No: BM-2-901-13</t>
  </si>
  <si>
    <t>Version: 3.0.1</t>
  </si>
  <si>
    <t>Issue Date: 17/06/2026</t>
  </si>
  <si>
    <t>SUN ASTERISK VIETNAM CO., LTD</t>
  </si>
  <si>
    <t>ISO/IEC 27001:2022 &amp; ISO 9001:2015</t>
  </si>
  <si>
    <t>Total TCs</t>
  </si>
  <si>
    <t>Passed</t>
  </si>
  <si>
    <t>Failed</t>
  </si>
  <si>
    <t>Pending</t>
  </si>
  <si>
    <t>N/A</t>
  </si>
  <si>
    <t>Remaining</t>
  </si>
  <si>
    <t>Spec/Design link:</t>
  </si>
  <si>
    <t>qa\screens\contact-points\requirements\spec.md</t>
  </si>
  <si>
    <t>*: Mandatory</t>
  </si>
  <si>
    <t>TC ID*</t>
  </si>
  <si>
    <t>Screen/Function</t>
  </si>
  <si>
    <t>Big item</t>
  </si>
  <si>
    <t>Medium item</t>
  </si>
  <si>
    <t>Test Object</t>
  </si>
  <si>
    <t>Pre-condition</t>
  </si>
  <si>
    <t>Test Data</t>
  </si>
  <si>
    <t>Steps*</t>
  </si>
  <si>
    <t>Expected results*</t>
  </si>
  <si>
    <t>Priority</t>
  </si>
  <si>
    <t>Testcase type</t>
  </si>
  <si>
    <t>Test Result*</t>
  </si>
  <si>
    <t>Executed Date*</t>
  </si>
  <si>
    <t>Test Executor*</t>
  </si>
  <si>
    <t>Test Environment</t>
  </si>
  <si>
    <t xml:space="preserve">Note
(Test evidence, DefectID, Actual result)</t>
  </si>
  <si>
    <t/>
  </si>
  <si>
    <t>GUI</t>
  </si>
  <si>
    <t>CONTACT-POINTS-UI-001</t>
  </si>
  <si>
    <t>Bảng hiển thị đúng với tiêu đề trang khi tải</t>
  </si>
  <si>
    <t>Logged in as user</t>
  </si>
  <si>
    <t>• page_title: Danh sách điểm liên hệ</t>
  </si>
  <si>
    <t xml:space="preserve">1. User is on [contact-points] page
2. Wait for [Contact Points Table] table is visible</t>
  </si>
  <si>
    <t xml:space="preserve">1. See [Page Title] header with {{page_title}}
2. See [Contact Points Table] table</t>
  </si>
  <si>
    <t>High</t>
  </si>
  <si>
    <t>Auto</t>
  </si>
  <si>
    <t>17/06/2026</t>
  </si>
  <si>
    <t>vanvtt-0952</t>
  </si>
  <si>
    <t>https://ask.awesome-services.net/vi/contact-points (chromium)</t>
  </si>
  <si>
    <t>CONTACT-POINTS-UI-002</t>
  </si>
  <si>
    <t>Bảng hiển thị đủ 5 cột khi tải</t>
  </si>
  <si>
    <t xml:space="preserve">1. See [Contact Points Table] table
2. See [Liên lạc] column in [Contact Points Table] table
3. See [Vị trí] column in [Contact Points Table] table
4. See [Vấn đề] column in [Contact Points Table] table
5. See [DaNang Office] column in [Contact Points Table] table
6. See [HCMC Office] column in [Contact Points Table] table
7. See [Hanoi Office] column in [Contact Points Table] table</t>
  </si>
  <si>
    <t>Function</t>
  </si>
  <si>
    <t>CONTACT-POINTS-AUTH-001</t>
  </si>
  <si>
    <t>Session required — unauthenticated direct access is redirected</t>
  </si>
  <si>
    <t>Not authenticated</t>
  </si>
  <si>
    <t>User is on [contact-points] page</t>
  </si>
  <si>
    <t xml:space="preserve">1. See [Auth] page
2. See [Contact Points Table] table is hidden</t>
  </si>
  <si>
    <t>CONTACT-POINTS-DATA-003</t>
  </si>
  <si>
    <t>Ô dash placeholder tồn tại trong bảng liên hệ</t>
  </si>
  <si>
    <t>• no_contact_placeholder: -</t>
  </si>
  <si>
    <t xml:space="preserve">1. See [Contact Points Table] table
2. See [No Contact Cell] cell with {{no_contact_placeholder}}</t>
  </si>
  <si>
    <t>Normal</t>
  </si>
  <si>
    <t>CONTACT-POINTS-DATA-001</t>
  </si>
  <si>
    <t>Ô chứa nhiều tên hiển thị đầy đủ không truncate</t>
  </si>
  <si>
    <t xml:space="preserve">1. See [Contact Points Table] table
2. See [Multi-name Contact Cell] cell</t>
  </si>
  <si>
    <t>Manual</t>
  </si>
  <si>
    <t>CONTACT-POINTS-DATA-002</t>
  </si>
  <si>
    <t>Bảng rỗng hiển thị đúng mà không lỗi khi DB không trả dữ liệu</t>
  </si>
  <si>
    <t>See [Contact Points Table] table is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</si>
</sst>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2"/>
      <name val="Times New Roman"/>
    </font>
    <font>
      <b/>
      <sz val="10"/>
      <name val="Times New Roman"/>
    </font>
    <font>
      <b/>
      <color rgb="FF000000"/>
      <sz val="10"/>
      <name val="Arial"/>
    </font>
    <font>
      <color rgb="FF000000"/>
      <sz val="10"/>
      <name val="Arial"/>
    </font>
    <font>
      <b/>
    </font>
    <font>
      <u/>
      <color rgb="FF1F4E78"/>
    </font>
    <font>
      <i/>
      <color rgb="FF808080"/>
    </font>
    <font>
      <b/>
      <color rgb="FF000000"/>
    </font>
    <font>
      <b/>
      <color rgb="FF107C41"/>
    </font>
    <font>
      <b/>
      <color rgb="FF996D00"/>
    </font>
  </fonts>
  <fills count="4">
    <fill>
      <patternFill patternType="none"/>
    </fill>
    <fill>
      <patternFill patternType="gray125"/>
    </fill>
    <fill>
      <patternFill patternType="solid">
        <fgColor rgb="FFD9D2E9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3" fontId="5" fillId="3" borderId="1" xfId="0" applyNumberFormat="1" applyFont="1" applyFill="1" applyBorder="1" applyAlignment="1">
      <alignment horizontal="center" vertical="top"/>
    </xf>
    <xf numFmtId="9" fontId="5" fillId="3" borderId="1" xfId="0" applyNumberFormat="1" applyFont="1" applyFill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6" fillId="2" borderId="5" xfId="0" applyFont="1" applyFill="1" applyBorder="1"/>
    <xf numFmtId="0" fontId="0" fillId="0" borderId="0" xfId="0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1237500</xdr:colOff>
      <xdr:row>0</xdr:row>
      <xdr:rowOff>42862</xdr:rowOff>
    </xdr:from>
    <xdr:ext cx="857250" cy="4857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Move="1" noResize="1" noSel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1237500</xdr:colOff>
      <xdr:row>0</xdr:row>
      <xdr:rowOff>42862</xdr:rowOff>
    </xdr:from>
    <xdr:ext cx="857250" cy="4857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Move="1" noResize="1" noSel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.5" customWidth="1"/>
    <col min="3" max="3" width="15.38" customWidth="1"/>
    <col min="4" max="4" width="16.25" customWidth="1"/>
    <col min="5" max="5" width="17" customWidth="1"/>
    <col min="6" max="6" width="25.5" customWidth="1"/>
    <col min="7" max="8" width="24.88" customWidth="1"/>
    <col min="9" max="9" width="41" customWidth="1"/>
    <col min="10" max="10" width="12" customWidth="1"/>
    <col min="11" max="11" width="13.5" customWidth="1"/>
    <col min="12" max="12" width="15.88" customWidth="1"/>
    <col min="13" max="13" width="13.5" customWidth="1"/>
    <col min="14" max="14" width="16.5" customWidth="1"/>
    <col min="15" max="15" width="23" customWidth="1"/>
    <col min="16" max="16" width="29" customWidth="1"/>
  </cols>
  <sheetData>
    <row r="1" spans="1:8" x14ac:dyDescent="0.25">
      <c r="A1" s="1"/>
      <c r="B1" s="1"/>
      <c r="C1" s="1"/>
      <c r="D1" s="2" t="s">
        <v>0</v>
      </c>
      <c r="E1" s="2"/>
      <c r="F1" s="2"/>
      <c r="G1" s="3" t="s">
        <v>1</v>
      </c>
      <c r="H1" s="3"/>
    </row>
    <row r="2" spans="1:8" x14ac:dyDescent="0.25">
      <c r="A2" s="1"/>
      <c r="B2" s="1"/>
      <c r="C2" s="1"/>
      <c r="D2" s="2"/>
      <c r="E2" s="2"/>
      <c r="F2" s="2"/>
      <c r="G2" s="4" t="s">
        <v>2</v>
      </c>
      <c r="H2" s="4"/>
    </row>
    <row r="3" spans="1:8" x14ac:dyDescent="0.25">
      <c r="A3" s="1"/>
      <c r="B3" s="1"/>
      <c r="C3" s="1"/>
      <c r="D3" s="2"/>
      <c r="E3" s="2"/>
      <c r="F3" s="2"/>
      <c r="G3" s="5" t="s">
        <v>3</v>
      </c>
      <c r="H3" s="5"/>
    </row>
    <row r="4" spans="1:8" x14ac:dyDescent="0.25">
      <c r="A4" s="6" t="s">
        <v>4</v>
      </c>
      <c r="B4" s="6"/>
      <c r="C4" s="6"/>
      <c r="D4" s="6"/>
      <c r="E4" s="6"/>
      <c r="F4" s="6"/>
      <c r="G4" s="7" t="s">
        <v>5</v>
      </c>
      <c r="H4" s="7"/>
    </row>
    <row r="6" spans="3:8" x14ac:dyDescent="0.25"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</row>
    <row r="7" spans="3:8" x14ac:dyDescent="0.25">
      <c r="C7" s="9">
        <f>COUNTA(A15:A10000)</f>
        <v>4</v>
      </c>
      <c r="D7" s="9">
        <f>COUNTIF(L15:L10000,"Passed")</f>
        <v>4</v>
      </c>
      <c r="E7" s="9">
        <f>COUNTIF(L15:L10000,"Failed")</f>
        <v>0</v>
      </c>
      <c r="F7" s="9">
        <f>COUNTIF(L15:L10000,"Pending")</f>
        <v>0</v>
      </c>
      <c r="G7" s="9">
        <f>COUNTIF(L15:L10000,"N/A")</f>
        <v>0</v>
      </c>
      <c r="H7" s="10">
        <f>C7-D7-G7</f>
        <v>0</v>
      </c>
    </row>
    <row r="8" spans="3:8" x14ac:dyDescent="0.25">
      <c r="C8" s="9"/>
      <c r="D8" s="11">
        <f>IFERROR(D7/(C7-G7),0)</f>
        <v>1</v>
      </c>
      <c r="E8" s="11">
        <f>IFERROR(E7/(C7-G7),0)</f>
        <v>0</v>
      </c>
      <c r="F8" s="11">
        <f>IFERROR(F7/(C7-G7),0)</f>
        <v>0</v>
      </c>
      <c r="G8" s="11">
        <f>IFERROR(G7/(C7-G7),0)</f>
        <v>0</v>
      </c>
      <c r="H8" s="11">
        <f>IFERROR(H7/(C7-G7),0)</f>
        <v>0</v>
      </c>
    </row>
    <row r="10" spans="1:2" x14ac:dyDescent="0.25">
      <c r="A10" s="12" t="s">
        <v>12</v>
      </c>
      <c r="B10" s="13" t="s">
        <v>13</v>
      </c>
    </row>
    <row r="12" spans="1:1" x14ac:dyDescent="0.25">
      <c r="A12" s="14" t="s">
        <v>14</v>
      </c>
    </row>
    <row r="13" ht="38" customHeight="1" spans="1:16" x14ac:dyDescent="0.25">
      <c r="A13" s="15" t="s">
        <v>15</v>
      </c>
      <c r="B13" s="15" t="s">
        <v>16</v>
      </c>
      <c r="C13" s="15" t="s">
        <v>17</v>
      </c>
      <c r="D13" s="15" t="s">
        <v>18</v>
      </c>
      <c r="E13" s="15" t="s">
        <v>19</v>
      </c>
      <c r="F13" s="15" t="s">
        <v>20</v>
      </c>
      <c r="G13" s="15" t="s">
        <v>21</v>
      </c>
      <c r="H13" s="15" t="s">
        <v>22</v>
      </c>
      <c r="I13" s="15" t="s">
        <v>23</v>
      </c>
      <c r="J13" s="15" t="s">
        <v>24</v>
      </c>
      <c r="K13" s="15" t="s">
        <v>25</v>
      </c>
      <c r="L13" s="15" t="s">
        <v>26</v>
      </c>
      <c r="M13" s="15" t="s">
        <v>27</v>
      </c>
      <c r="N13" s="15" t="s">
        <v>28</v>
      </c>
      <c r="O13" s="15" t="s">
        <v>29</v>
      </c>
      <c r="P13" s="15" t="s">
        <v>30</v>
      </c>
    </row>
    <row r="14" spans="1:16" x14ac:dyDescent="0.25">
      <c r="A14" s="16" t="s">
        <v>31</v>
      </c>
      <c r="B14" s="17" t="s">
        <v>32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s="18" customFormat="1" x14ac:dyDescent="0.25">
      <c r="A15" s="19" t="s">
        <v>33</v>
      </c>
      <c r="B15" s="20" t="s">
        <v>31</v>
      </c>
      <c r="C15" s="20" t="s">
        <v>31</v>
      </c>
      <c r="D15" s="20" t="s">
        <v>31</v>
      </c>
      <c r="E15" s="20" t="s">
        <v>34</v>
      </c>
      <c r="F15" s="20" t="s">
        <v>35</v>
      </c>
      <c r="G15" s="20" t="s">
        <v>36</v>
      </c>
      <c r="H15" s="20" t="s">
        <v>37</v>
      </c>
      <c r="I15" s="20" t="s">
        <v>38</v>
      </c>
      <c r="J15" s="20" t="s">
        <v>39</v>
      </c>
      <c r="K15" s="20" t="s">
        <v>40</v>
      </c>
      <c r="L15" s="21" t="s">
        <v>7</v>
      </c>
      <c r="M15" s="20" t="s">
        <v>41</v>
      </c>
      <c r="N15" s="20" t="s">
        <v>42</v>
      </c>
      <c r="O15" s="20" t="s">
        <v>43</v>
      </c>
      <c r="P15" s="20" t="s">
        <v>31</v>
      </c>
    </row>
    <row r="16" spans="1:16" s="18" customFormat="1" x14ac:dyDescent="0.25">
      <c r="A16" s="19" t="s">
        <v>44</v>
      </c>
      <c r="B16" s="20" t="s">
        <v>31</v>
      </c>
      <c r="C16" s="20" t="s">
        <v>31</v>
      </c>
      <c r="D16" s="20" t="s">
        <v>31</v>
      </c>
      <c r="E16" s="20" t="s">
        <v>45</v>
      </c>
      <c r="F16" s="20" t="s">
        <v>35</v>
      </c>
      <c r="G16" s="20" t="s">
        <v>31</v>
      </c>
      <c r="H16" s="20" t="s">
        <v>37</v>
      </c>
      <c r="I16" s="20" t="s">
        <v>46</v>
      </c>
      <c r="J16" s="20" t="s">
        <v>39</v>
      </c>
      <c r="K16" s="20" t="s">
        <v>40</v>
      </c>
      <c r="L16" s="21" t="s">
        <v>7</v>
      </c>
      <c r="M16" s="20" t="s">
        <v>41</v>
      </c>
      <c r="N16" s="20" t="s">
        <v>42</v>
      </c>
      <c r="O16" s="20" t="s">
        <v>43</v>
      </c>
      <c r="P16" s="20" t="s">
        <v>31</v>
      </c>
    </row>
    <row r="17" spans="1:16" x14ac:dyDescent="0.25">
      <c r="A17" s="16" t="s">
        <v>31</v>
      </c>
      <c r="B17" s="17" t="s">
        <v>47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 s="18" customFormat="1" x14ac:dyDescent="0.25">
      <c r="A18" s="19" t="s">
        <v>48</v>
      </c>
      <c r="B18" s="20" t="s">
        <v>31</v>
      </c>
      <c r="C18" s="20" t="s">
        <v>31</v>
      </c>
      <c r="D18" s="20" t="s">
        <v>31</v>
      </c>
      <c r="E18" s="20" t="s">
        <v>49</v>
      </c>
      <c r="F18" s="20" t="s">
        <v>50</v>
      </c>
      <c r="G18" s="20" t="s">
        <v>31</v>
      </c>
      <c r="H18" s="20" t="s">
        <v>51</v>
      </c>
      <c r="I18" s="20" t="s">
        <v>52</v>
      </c>
      <c r="J18" s="20" t="s">
        <v>39</v>
      </c>
      <c r="K18" s="20" t="s">
        <v>40</v>
      </c>
      <c r="L18" s="21" t="s">
        <v>7</v>
      </c>
      <c r="M18" s="20" t="s">
        <v>41</v>
      </c>
      <c r="N18" s="20" t="s">
        <v>42</v>
      </c>
      <c r="O18" s="20" t="s">
        <v>43</v>
      </c>
      <c r="P18" s="20" t="s">
        <v>31</v>
      </c>
    </row>
    <row r="19" spans="1:16" s="18" customFormat="1" x14ac:dyDescent="0.25">
      <c r="A19" s="19" t="s">
        <v>53</v>
      </c>
      <c r="B19" s="20" t="s">
        <v>31</v>
      </c>
      <c r="C19" s="20" t="s">
        <v>31</v>
      </c>
      <c r="D19" s="20" t="s">
        <v>31</v>
      </c>
      <c r="E19" s="20" t="s">
        <v>54</v>
      </c>
      <c r="F19" s="20" t="s">
        <v>35</v>
      </c>
      <c r="G19" s="20" t="s">
        <v>55</v>
      </c>
      <c r="H19" s="20" t="s">
        <v>51</v>
      </c>
      <c r="I19" s="20" t="s">
        <v>56</v>
      </c>
      <c r="J19" s="20" t="s">
        <v>57</v>
      </c>
      <c r="K19" s="20" t="s">
        <v>40</v>
      </c>
      <c r="L19" s="21" t="s">
        <v>7</v>
      </c>
      <c r="M19" s="20" t="s">
        <v>41</v>
      </c>
      <c r="N19" s="20" t="s">
        <v>42</v>
      </c>
      <c r="O19" s="20" t="s">
        <v>43</v>
      </c>
      <c r="P19" s="20" t="s">
        <v>31</v>
      </c>
    </row>
  </sheetData>
  <sheetProtection sheet="1" objects="1" scenarios="1"/>
  <autoFilter ref="A13:P19"/>
  <mergeCells count="7">
    <mergeCell ref="A1:C3"/>
    <mergeCell ref="D1:F3"/>
    <mergeCell ref="G1:H1"/>
    <mergeCell ref="G2:H2"/>
    <mergeCell ref="G3:H3"/>
    <mergeCell ref="A4:F4"/>
    <mergeCell ref="G4:H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.5" customWidth="1"/>
    <col min="3" max="3" width="15.38" customWidth="1"/>
    <col min="4" max="4" width="16.25" customWidth="1"/>
    <col min="5" max="5" width="17" customWidth="1"/>
    <col min="6" max="6" width="25.5" customWidth="1"/>
    <col min="7" max="8" width="24.88" customWidth="1"/>
    <col min="9" max="9" width="41" customWidth="1"/>
    <col min="10" max="10" width="12" customWidth="1"/>
    <col min="11" max="11" width="13.5" customWidth="1"/>
    <col min="12" max="12" width="15.88" customWidth="1"/>
    <col min="13" max="13" width="13.5" customWidth="1"/>
    <col min="14" max="14" width="16.5" customWidth="1"/>
    <col min="15" max="15" width="23" customWidth="1"/>
    <col min="16" max="16" width="29" customWidth="1"/>
  </cols>
  <sheetData>
    <row r="1" spans="1:8" x14ac:dyDescent="0.25">
      <c r="A1" s="1"/>
      <c r="B1" s="1"/>
      <c r="C1" s="1"/>
      <c r="D1" s="2" t="s">
        <v>0</v>
      </c>
      <c r="E1" s="2"/>
      <c r="F1" s="2"/>
      <c r="G1" s="3" t="s">
        <v>1</v>
      </c>
      <c r="H1" s="3"/>
    </row>
    <row r="2" spans="1:8" x14ac:dyDescent="0.25">
      <c r="A2" s="1"/>
      <c r="B2" s="1"/>
      <c r="C2" s="1"/>
      <c r="D2" s="2"/>
      <c r="E2" s="2"/>
      <c r="F2" s="2"/>
      <c r="G2" s="4" t="s">
        <v>2</v>
      </c>
      <c r="H2" s="4"/>
    </row>
    <row r="3" spans="1:8" x14ac:dyDescent="0.25">
      <c r="A3" s="1"/>
      <c r="B3" s="1"/>
      <c r="C3" s="1"/>
      <c r="D3" s="2"/>
      <c r="E3" s="2"/>
      <c r="F3" s="2"/>
      <c r="G3" s="5" t="s">
        <v>3</v>
      </c>
      <c r="H3" s="5"/>
    </row>
    <row r="4" spans="1:8" x14ac:dyDescent="0.25">
      <c r="A4" s="6" t="s">
        <v>4</v>
      </c>
      <c r="B4" s="6"/>
      <c r="C4" s="6"/>
      <c r="D4" s="6"/>
      <c r="E4" s="6"/>
      <c r="F4" s="6"/>
      <c r="G4" s="7" t="s">
        <v>5</v>
      </c>
      <c r="H4" s="7"/>
    </row>
    <row r="6" spans="3:8" x14ac:dyDescent="0.25"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</row>
    <row r="7" spans="3:8" x14ac:dyDescent="0.25">
      <c r="C7" s="9">
        <f>COUNTA(A15:A10000)</f>
        <v>2</v>
      </c>
      <c r="D7" s="9">
        <f>COUNTIF(L15:L10000,"Passed")</f>
        <v>0</v>
      </c>
      <c r="E7" s="9">
        <f>COUNTIF(L15:L10000,"Failed")</f>
        <v>0</v>
      </c>
      <c r="F7" s="9">
        <f>COUNTIF(L15:L10000,"Pending")</f>
        <v>2</v>
      </c>
      <c r="G7" s="9">
        <f>COUNTIF(L15:L10000,"N/A")</f>
        <v>0</v>
      </c>
      <c r="H7" s="10">
        <f>C7-D7-G7</f>
        <v>2</v>
      </c>
    </row>
    <row r="8" spans="3:8" x14ac:dyDescent="0.25">
      <c r="C8" s="9"/>
      <c r="D8" s="11">
        <f>IFERROR(D7/(C7-G7),0)</f>
        <v>0</v>
      </c>
      <c r="E8" s="11">
        <f>IFERROR(E7/(C7-G7),0)</f>
        <v>0</v>
      </c>
      <c r="F8" s="11">
        <f>IFERROR(F7/(C7-G7),0)</f>
        <v>1</v>
      </c>
      <c r="G8" s="11">
        <f>IFERROR(G7/(C7-G7),0)</f>
        <v>0</v>
      </c>
      <c r="H8" s="11">
        <f>IFERROR(H7/(C7-G7),0)</f>
        <v>1</v>
      </c>
    </row>
    <row r="10" spans="1:2" x14ac:dyDescent="0.25">
      <c r="A10" s="12" t="s">
        <v>12</v>
      </c>
      <c r="B10" s="13" t="s">
        <v>13</v>
      </c>
    </row>
    <row r="12" spans="1:1" x14ac:dyDescent="0.25">
      <c r="A12" s="14" t="s">
        <v>14</v>
      </c>
    </row>
    <row r="13" ht="38" customHeight="1" spans="1:16" x14ac:dyDescent="0.25">
      <c r="A13" s="15" t="s">
        <v>15</v>
      </c>
      <c r="B13" s="15" t="s">
        <v>16</v>
      </c>
      <c r="C13" s="15" t="s">
        <v>17</v>
      </c>
      <c r="D13" s="15" t="s">
        <v>18</v>
      </c>
      <c r="E13" s="15" t="s">
        <v>19</v>
      </c>
      <c r="F13" s="15" t="s">
        <v>20</v>
      </c>
      <c r="G13" s="15" t="s">
        <v>21</v>
      </c>
      <c r="H13" s="15" t="s">
        <v>22</v>
      </c>
      <c r="I13" s="15" t="s">
        <v>23</v>
      </c>
      <c r="J13" s="15" t="s">
        <v>24</v>
      </c>
      <c r="K13" s="15" t="s">
        <v>25</v>
      </c>
      <c r="L13" s="15" t="s">
        <v>26</v>
      </c>
      <c r="M13" s="15" t="s">
        <v>27</v>
      </c>
      <c r="N13" s="15" t="s">
        <v>28</v>
      </c>
      <c r="O13" s="15" t="s">
        <v>29</v>
      </c>
      <c r="P13" s="15" t="s">
        <v>30</v>
      </c>
    </row>
    <row r="14" spans="1:16" x14ac:dyDescent="0.25">
      <c r="A14" s="16" t="s">
        <v>31</v>
      </c>
      <c r="B14" s="17" t="s">
        <v>47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s="18" customFormat="1" x14ac:dyDescent="0.25">
      <c r="A15" s="19" t="s">
        <v>58</v>
      </c>
      <c r="B15" s="20" t="s">
        <v>31</v>
      </c>
      <c r="C15" s="20" t="s">
        <v>31</v>
      </c>
      <c r="D15" s="20" t="s">
        <v>31</v>
      </c>
      <c r="E15" s="20" t="s">
        <v>59</v>
      </c>
      <c r="F15" s="20" t="s">
        <v>35</v>
      </c>
      <c r="G15" s="20" t="s">
        <v>31</v>
      </c>
      <c r="H15" s="20" t="s">
        <v>51</v>
      </c>
      <c r="I15" s="20" t="s">
        <v>60</v>
      </c>
      <c r="J15" s="20" t="s">
        <v>39</v>
      </c>
      <c r="K15" s="20" t="s">
        <v>61</v>
      </c>
      <c r="L15" s="22" t="s">
        <v>9</v>
      </c>
      <c r="M15" s="20" t="s">
        <v>31</v>
      </c>
      <c r="N15" s="20" t="s">
        <v>31</v>
      </c>
      <c r="O15" s="20" t="s">
        <v>31</v>
      </c>
      <c r="P15" s="20" t="s">
        <v>31</v>
      </c>
    </row>
    <row r="16" spans="1:16" s="18" customFormat="1" x14ac:dyDescent="0.25">
      <c r="A16" s="19" t="s">
        <v>62</v>
      </c>
      <c r="B16" s="20" t="s">
        <v>31</v>
      </c>
      <c r="C16" s="20" t="s">
        <v>31</v>
      </c>
      <c r="D16" s="20" t="s">
        <v>31</v>
      </c>
      <c r="E16" s="20" t="s">
        <v>63</v>
      </c>
      <c r="F16" s="20" t="s">
        <v>35</v>
      </c>
      <c r="G16" s="20" t="s">
        <v>31</v>
      </c>
      <c r="H16" s="20" t="s">
        <v>51</v>
      </c>
      <c r="I16" s="20" t="s">
        <v>64</v>
      </c>
      <c r="J16" s="20" t="s">
        <v>57</v>
      </c>
      <c r="K16" s="20" t="s">
        <v>61</v>
      </c>
      <c r="L16" s="22" t="s">
        <v>9</v>
      </c>
      <c r="M16" s="20" t="s">
        <v>31</v>
      </c>
      <c r="N16" s="20" t="s">
        <v>31</v>
      </c>
      <c r="O16" s="20" t="s">
        <v>31</v>
      </c>
      <c r="P16" s="20" t="s">
        <v>31</v>
      </c>
    </row>
  </sheetData>
  <sheetProtection sheet="1" objects="1" scenarios="1"/>
  <autoFilter ref="A13:P16"/>
  <mergeCells count="7">
    <mergeCell ref="A1:C3"/>
    <mergeCell ref="D1:F3"/>
    <mergeCell ref="G1:H1"/>
    <mergeCell ref="G2:H2"/>
    <mergeCell ref="G3:H3"/>
    <mergeCell ref="A4:F4"/>
    <mergeCell ref="G4:H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</vt:lpstr>
      <vt:lpstr>Manual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sungen delivery</dc:creator>
  <dc:title/>
  <dc:subject/>
  <dc:description/>
  <cp:keywords/>
  <cp:category/>
  <cp:lastModifiedBy>Unknown</cp:lastModifiedBy>
  <dcterms:created xsi:type="dcterms:W3CDTF">2026-06-17T04:23:59Z</dcterms:created>
  <dcterms:modified xsi:type="dcterms:W3CDTF">2026-06-17T04:23:59Z</dcterms:modified>
</cp:coreProperties>
</file>